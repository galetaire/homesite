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13_ncr:1_{7570CB0B-556E-4789-86F7-ABA22AE70FF4}" xr6:coauthVersionLast="47" xr6:coauthVersionMax="47" xr10:uidLastSave="{00000000-0000-0000-0000-000000000000}"/>
  <bookViews>
    <workbookView xWindow="-110" yWindow="-110" windowWidth="21820" windowHeight="13900" tabRatio="496" xr2:uid="{00000000-000D-0000-FFFF-FFFF00000000}"/>
  </bookViews>
  <sheets>
    <sheet name="Seguiment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C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C19" i="10"/>
  <c r="C20" i="10"/>
  <c r="C21" i="10"/>
  <c r="C18" i="10"/>
  <c r="C17" i="10"/>
  <c r="C16" i="10"/>
  <c r="C15" i="10"/>
  <c r="C13" i="10"/>
  <c r="C14" i="10"/>
  <c r="C12" i="10"/>
  <c r="C11" i="10"/>
  <c r="C10" i="10"/>
  <c r="C8" i="10"/>
  <c r="C5" i="10"/>
  <c r="C6" i="10"/>
  <c r="C7" i="10"/>
  <c r="C9" i="10"/>
  <c r="C4" i="10"/>
  <c r="C3" i="10"/>
  <c r="Q4" i="10"/>
  <c r="Q3" i="10"/>
  <c r="Q6" i="10"/>
  <c r="Q5" i="10"/>
  <c r="Q7" i="10"/>
  <c r="Q8" i="10"/>
  <c r="Q9" i="10"/>
  <c r="Q10" i="10"/>
  <c r="Q2" i="10"/>
</calcChain>
</file>

<file path=xl/sharedStrings.xml><?xml version="1.0" encoding="utf-8"?>
<sst xmlns="http://schemas.openxmlformats.org/spreadsheetml/2006/main" count="59" uniqueCount="31">
  <si>
    <t>Bitcoin</t>
  </si>
  <si>
    <t>Petroli</t>
  </si>
  <si>
    <t>Hang Seng</t>
  </si>
  <si>
    <t>Nikkei 225</t>
  </si>
  <si>
    <t>Euro Stoxx 50</t>
  </si>
  <si>
    <t>S&amp;P 500</t>
  </si>
  <si>
    <t>Immobles</t>
  </si>
  <si>
    <t>Or</t>
  </si>
  <si>
    <t>Productes agrícoles</t>
  </si>
  <si>
    <t>MSCI Emerging Markets</t>
  </si>
  <si>
    <t>Matèries primeres</t>
  </si>
  <si>
    <t>multiple</t>
  </si>
  <si>
    <t>2000_tr</t>
  </si>
  <si>
    <t>2024_tr</t>
  </si>
  <si>
    <t>actius2</t>
  </si>
  <si>
    <t>Bo EUA 10 anys</t>
  </si>
  <si>
    <t>Actius</t>
  </si>
  <si>
    <t>Actius (rendiment en %)</t>
  </si>
  <si>
    <t>Bo Alemany 10 anys</t>
  </si>
  <si>
    <t>Nifty 50</t>
  </si>
  <si>
    <t>Bovespa</t>
  </si>
  <si>
    <t>MSCI World</t>
  </si>
  <si>
    <t>Tadawul</t>
  </si>
  <si>
    <t>ASX 200</t>
  </si>
  <si>
    <t>MSCI Europe</t>
  </si>
  <si>
    <t>MSCI South Africa</t>
  </si>
  <si>
    <t>Food Fao Index</t>
  </si>
  <si>
    <t xml:space="preserve">🪙/$ </t>
  </si>
  <si>
    <t>TR100</t>
  </si>
  <si>
    <t>Rendiment en el que va d'any (%)</t>
  </si>
  <si>
    <t>5TR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</si>
</sst>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;\-0.0"/>
    <numFmt numFmtId="165" formatCode="#,##0\ _€"/>
    <numFmt numFmtId="166" formatCode="0.0"/>
    <numFmt numFmtId="167" formatCode="0.0_ ;\-0.0\ "/>
    <numFmt numFmtId="170" formatCode="\+0.00;\-0.00"/>
  </numFmts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0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8"/>
      <color rgb="FF000000"/>
      <name val="Calibri Light"/>
      <family val="2"/>
      <scheme val="major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/>
    </xf>
    <xf numFmtId="4" fontId="3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1"/>
    <xf numFmtId="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1" fontId="3" fillId="7" borderId="1" xfId="3" applyNumberFormat="1" applyFont="1" applyFill="1" applyBorder="1" applyAlignment="1">
      <alignment horizontal="center"/>
    </xf>
    <xf numFmtId="167" fontId="1" fillId="0" borderId="0" xfId="1" applyNumberFormat="1"/>
    <xf numFmtId="170" fontId="3" fillId="4" borderId="1" xfId="0" applyNumberFormat="1" applyFont="1" applyFill="1" applyBorder="1" applyAlignment="1">
      <alignment horizontal="center"/>
    </xf>
    <xf numFmtId="170" fontId="0" fillId="0" borderId="0" xfId="0" applyNumberFormat="1"/>
  </cellXfs>
  <cellStyles count="4">
    <cellStyle name="Normal" xfId="0" builtinId="0"/>
    <cellStyle name="Normal 2" xfId="1" xr:uid="{61DB7FCB-9BF8-43BF-9E19-2B13C74F011A}"/>
    <cellStyle name="Percentatge" xfId="3" builtinId="5"/>
    <cellStyle name="Percentatge 2" xfId="2" xr:uid="{6EDB8F21-4D57-4E3F-AC94-49477053A4B2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EEEEE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9CCFF"/>
      <rgbColor rgb="FFFF9999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  <color rgb="FFFFF2CC"/>
      <color rgb="FFB4C6E7"/>
      <color rgb="FFBD92DE"/>
      <color rgb="FFFF7C80"/>
      <color rgb="FFFFC9CA"/>
      <color rgb="FFC38649"/>
      <color rgb="FF996633"/>
      <color rgb="FFFF99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1C33-0DEF-4826-9ADB-EC41A994B532}">
  <dimension ref="A1:Q30"/>
  <sheetViews>
    <sheetView tabSelected="1" zoomScale="80" zoomScaleNormal="80" workbookViewId="0">
      <selection activeCell="E22" sqref="E22"/>
    </sheetView>
  </sheetViews>
  <sheetFormatPr defaultRowHeight="14.5" x14ac:dyDescent="0.35"/>
  <cols>
    <col min="1" max="1" width="39.6328125" customWidth="1"/>
    <col min="2" max="2" width="13.453125" customWidth="1"/>
    <col min="3" max="3" width="11.1796875" customWidth="1"/>
    <col min="4" max="4" width="10.54296875" customWidth="1"/>
    <col min="5" max="5" width="10.453125" customWidth="1"/>
    <col min="6" max="6" width="10.90625" customWidth="1"/>
    <col min="7" max="7" width="12.6328125" customWidth="1"/>
    <col min="8" max="8" width="10.453125" customWidth="1"/>
    <col min="9" max="9" width="11.54296875" customWidth="1"/>
    <col min="10" max="10" width="7.08984375" style="14" customWidth="1"/>
    <col min="11" max="11" width="34.81640625" customWidth="1"/>
    <col min="12" max="12" width="23.453125" customWidth="1"/>
    <col min="13" max="13" width="11.54296875" style="14" customWidth="1"/>
    <col min="14" max="14" width="35.81640625" customWidth="1"/>
    <col min="15" max="16" width="17.54296875" customWidth="1"/>
    <col min="17" max="17" width="18.1796875" customWidth="1"/>
  </cols>
  <sheetData>
    <row r="1" spans="1:17" ht="23.5" x14ac:dyDescent="0.55000000000000004">
      <c r="A1" s="21" t="s">
        <v>17</v>
      </c>
      <c r="B1" s="21" t="s">
        <v>30</v>
      </c>
      <c r="C1" s="21" t="s">
        <v>28</v>
      </c>
      <c r="D1" s="21" t="s">
        <v>27</v>
      </c>
      <c r="E1" s="20">
        <v>2026</v>
      </c>
      <c r="F1" s="20">
        <v>2025</v>
      </c>
      <c r="G1" s="20">
        <v>2024</v>
      </c>
      <c r="H1" s="20">
        <v>2023</v>
      </c>
      <c r="I1" s="20">
        <v>2022</v>
      </c>
      <c r="K1" s="1" t="s">
        <v>16</v>
      </c>
      <c r="L1" s="2" t="s">
        <v>29</v>
      </c>
      <c r="N1" s="13" t="s">
        <v>14</v>
      </c>
      <c r="O1" s="11" t="s">
        <v>13</v>
      </c>
      <c r="P1" s="11" t="s">
        <v>12</v>
      </c>
      <c r="Q1" s="9" t="s">
        <v>11</v>
      </c>
    </row>
    <row r="2" spans="1:17" ht="23.5" x14ac:dyDescent="0.55000000000000004">
      <c r="A2" s="22" t="s">
        <v>7</v>
      </c>
      <c r="B2" s="26">
        <f>(((C2/100)^(1/5))-1)*100</f>
        <v>23.49520810509782</v>
      </c>
      <c r="C2" s="23">
        <f>((100+D2)*(I2/100+1))*(H2/100+1)*(G2/100+1)*(F2/100+1)*(E2/100+1)</f>
        <v>287.24371275599998</v>
      </c>
      <c r="D2" s="24"/>
      <c r="E2" s="10">
        <v>20</v>
      </c>
      <c r="F2" s="10">
        <v>65.900000000000006</v>
      </c>
      <c r="G2" s="10">
        <v>30</v>
      </c>
      <c r="H2" s="10">
        <v>11.1</v>
      </c>
      <c r="I2" s="10">
        <v>-0.1</v>
      </c>
      <c r="K2" s="2" t="s">
        <v>7</v>
      </c>
      <c r="L2" s="3">
        <v>20</v>
      </c>
      <c r="M2" s="25"/>
      <c r="N2" s="15" t="s">
        <v>7</v>
      </c>
      <c r="O2" s="4">
        <v>3020</v>
      </c>
      <c r="P2" s="8">
        <v>273</v>
      </c>
      <c r="Q2" s="10">
        <f t="shared" ref="Q2:Q10" si="0">(((O2/P2)^(1/25))-1)*100</f>
        <v>10.091495639300829</v>
      </c>
    </row>
    <row r="3" spans="1:17" ht="23.5" x14ac:dyDescent="0.55000000000000004">
      <c r="A3" s="22" t="s">
        <v>20</v>
      </c>
      <c r="B3" s="26">
        <f t="shared" ref="B3:B21" si="1">(((C3/100)^(1/5))-1)*100</f>
        <v>14.483578637316018</v>
      </c>
      <c r="C3" s="23">
        <f>((100+D3)*(I3/100+1))*(H3/100+1)*(G3/100+1)*(F3/100+1)*(E3/100+1)</f>
        <v>196.6599764336093</v>
      </c>
      <c r="D3" s="24">
        <v>10.94</v>
      </c>
      <c r="E3" s="10">
        <v>17.170000000000002</v>
      </c>
      <c r="F3" s="10">
        <v>34.46</v>
      </c>
      <c r="G3" s="10">
        <v>-1.2</v>
      </c>
      <c r="H3" s="10">
        <v>12.6</v>
      </c>
      <c r="I3" s="10">
        <v>1.1399999999999999</v>
      </c>
      <c r="K3" s="2" t="s">
        <v>1</v>
      </c>
      <c r="L3" s="3">
        <v>19.75</v>
      </c>
      <c r="M3" s="25"/>
      <c r="N3" s="15" t="s">
        <v>5</v>
      </c>
      <c r="O3" s="8">
        <v>11178</v>
      </c>
      <c r="P3" s="8">
        <v>1825</v>
      </c>
      <c r="Q3" s="10">
        <f t="shared" si="0"/>
        <v>7.5187110757897413</v>
      </c>
    </row>
    <row r="4" spans="1:17" ht="23.5" x14ac:dyDescent="0.55000000000000004">
      <c r="A4" s="2" t="s">
        <v>25</v>
      </c>
      <c r="B4" s="26">
        <f t="shared" si="1"/>
        <v>13.51272107614041</v>
      </c>
      <c r="C4" s="23">
        <f>((100+D4)*(I4/100+1))*(H4/100+1)*(G4/100+1)*(F4/100+1)*(E4/100+1)</f>
        <v>188.46151264329117</v>
      </c>
      <c r="D4" s="24">
        <v>-3.43</v>
      </c>
      <c r="E4" s="10">
        <v>13.9</v>
      </c>
      <c r="F4" s="10">
        <v>52.93</v>
      </c>
      <c r="G4" s="10">
        <v>7.0694087403599042</v>
      </c>
      <c r="H4" s="10">
        <v>5.7783820530251546</v>
      </c>
      <c r="I4" s="10">
        <v>-1.0759919300605247</v>
      </c>
      <c r="K4" s="2" t="s">
        <v>20</v>
      </c>
      <c r="L4" s="3">
        <v>17.170000000000002</v>
      </c>
      <c r="M4" s="25"/>
      <c r="N4" s="16" t="s">
        <v>3</v>
      </c>
      <c r="O4" s="8">
        <v>60855</v>
      </c>
      <c r="P4" s="8">
        <v>11153</v>
      </c>
      <c r="Q4" s="10">
        <f t="shared" si="0"/>
        <v>7.0227688270235955</v>
      </c>
    </row>
    <row r="5" spans="1:17" ht="23.5" x14ac:dyDescent="0.55000000000000004">
      <c r="A5" s="22" t="s">
        <v>5</v>
      </c>
      <c r="B5" s="26">
        <f t="shared" si="1"/>
        <v>7.8146962966187061</v>
      </c>
      <c r="C5" s="23">
        <f>((100+D5)*(I5/100+1))*(H5/100+1)*(G5/100+1)*(F5/100+1)*(E5/100+1)</f>
        <v>145.6766075825937</v>
      </c>
      <c r="D5" s="24"/>
      <c r="E5" s="10">
        <v>0.49</v>
      </c>
      <c r="F5" s="10">
        <v>17.43</v>
      </c>
      <c r="G5" s="10">
        <v>24.1</v>
      </c>
      <c r="H5" s="10">
        <v>24.5</v>
      </c>
      <c r="I5" s="10">
        <v>-20.100000000000001</v>
      </c>
      <c r="K5" s="7" t="s">
        <v>3</v>
      </c>
      <c r="L5" s="3">
        <v>16.899999999999999</v>
      </c>
      <c r="M5" s="25"/>
      <c r="N5" s="7" t="s">
        <v>2</v>
      </c>
      <c r="O5" s="8">
        <v>77193</v>
      </c>
      <c r="P5" s="8">
        <v>16095</v>
      </c>
      <c r="Q5" s="10">
        <f t="shared" si="0"/>
        <v>6.4720160546570371</v>
      </c>
    </row>
    <row r="6" spans="1:17" ht="23.5" x14ac:dyDescent="0.55000000000000004">
      <c r="A6" s="11" t="s">
        <v>6</v>
      </c>
      <c r="B6" s="26">
        <f t="shared" si="1"/>
        <v>7.6985600166572077</v>
      </c>
      <c r="C6" s="23">
        <f>((100+D6)*(I6/100+1))*(H6/100+1)*(G6/100+1)*(F6/100+1)*(E6/100+1)</f>
        <v>144.893693435953</v>
      </c>
      <c r="D6" s="24">
        <v>-0.77</v>
      </c>
      <c r="E6" s="10">
        <v>0.4</v>
      </c>
      <c r="F6" s="10">
        <v>16</v>
      </c>
      <c r="G6" s="10">
        <v>11.2</v>
      </c>
      <c r="H6" s="10">
        <v>8.1</v>
      </c>
      <c r="I6" s="10">
        <v>4.3</v>
      </c>
      <c r="K6" s="6" t="s">
        <v>9</v>
      </c>
      <c r="L6" s="3">
        <v>14.69</v>
      </c>
      <c r="M6" s="25"/>
      <c r="N6" s="2" t="s">
        <v>4</v>
      </c>
      <c r="O6" s="8">
        <v>12211</v>
      </c>
      <c r="P6" s="8">
        <v>3045</v>
      </c>
      <c r="Q6" s="10">
        <f t="shared" si="0"/>
        <v>5.7125520345924885</v>
      </c>
    </row>
    <row r="7" spans="1:17" ht="23.5" x14ac:dyDescent="0.55000000000000004">
      <c r="A7" s="22" t="s">
        <v>0</v>
      </c>
      <c r="B7" s="26">
        <f t="shared" si="1"/>
        <v>7.4358657323152055</v>
      </c>
      <c r="C7" s="23">
        <f>((100+D7)*(I7/100+1))*(H7/100+1)*(G7/100+1)*(F7/100+1)*(E7/100+1)</f>
        <v>143.13519661776328</v>
      </c>
      <c r="D7" s="24"/>
      <c r="E7" s="10">
        <v>-26.9</v>
      </c>
      <c r="F7" s="10">
        <v>-4.99</v>
      </c>
      <c r="G7" s="10">
        <v>126.6</v>
      </c>
      <c r="H7" s="10">
        <v>160.6</v>
      </c>
      <c r="I7" s="10">
        <v>-65.099999999999994</v>
      </c>
      <c r="K7" s="2" t="s">
        <v>25</v>
      </c>
      <c r="L7" s="3">
        <v>13.9</v>
      </c>
      <c r="M7" s="25"/>
      <c r="N7" s="2" t="s">
        <v>1</v>
      </c>
      <c r="O7" s="4">
        <v>72</v>
      </c>
      <c r="P7" s="8">
        <v>24</v>
      </c>
      <c r="Q7" s="10">
        <f t="shared" si="0"/>
        <v>4.4924351144087549</v>
      </c>
    </row>
    <row r="8" spans="1:17" ht="23.5" x14ac:dyDescent="0.55000000000000004">
      <c r="A8" s="11" t="s">
        <v>3</v>
      </c>
      <c r="B8" s="26">
        <f t="shared" si="1"/>
        <v>7.4188593945777592</v>
      </c>
      <c r="C8" s="23">
        <f>((100+D8)*(I8/100+1))*(H8/100+1)*(G8/100+1)*(F8/100+1)*(E8/100+1)</f>
        <v>143.02194603025421</v>
      </c>
      <c r="D8" s="24">
        <v>-30</v>
      </c>
      <c r="E8" s="10">
        <v>16.899999999999999</v>
      </c>
      <c r="F8" s="10">
        <v>26.18</v>
      </c>
      <c r="G8" s="10">
        <v>20.100000000000001</v>
      </c>
      <c r="H8" s="10">
        <v>27.3</v>
      </c>
      <c r="I8" s="10">
        <v>-9.4</v>
      </c>
      <c r="K8" s="2" t="s">
        <v>10</v>
      </c>
      <c r="L8" s="3">
        <v>11.37</v>
      </c>
      <c r="M8" s="25"/>
      <c r="N8" s="2" t="s">
        <v>6</v>
      </c>
      <c r="O8" s="4">
        <v>2271</v>
      </c>
      <c r="P8" s="8">
        <v>974</v>
      </c>
      <c r="Q8" s="10">
        <f t="shared" si="0"/>
        <v>3.4442433057896515</v>
      </c>
    </row>
    <row r="9" spans="1:17" ht="23.5" x14ac:dyDescent="0.55000000000000004">
      <c r="A9" s="2" t="s">
        <v>21</v>
      </c>
      <c r="B9" s="26">
        <f t="shared" si="1"/>
        <v>7.2732738190707247</v>
      </c>
      <c r="C9" s="23">
        <f>((100+D9)*(I9/100+1))*(H9/100+1)*(G9/100+1)*(F9/100+1)*(E9/100+1)</f>
        <v>142.05537607019619</v>
      </c>
      <c r="D9" s="24"/>
      <c r="E9" s="10">
        <v>2.85</v>
      </c>
      <c r="F9" s="10">
        <v>20.46</v>
      </c>
      <c r="G9" s="10">
        <v>18.399999999999999</v>
      </c>
      <c r="H9" s="10">
        <v>20.9</v>
      </c>
      <c r="I9" s="10">
        <v>-19.899999999999999</v>
      </c>
      <c r="K9" s="2" t="s">
        <v>24</v>
      </c>
      <c r="L9" s="3">
        <v>7.68</v>
      </c>
      <c r="M9" s="25"/>
      <c r="N9" s="2" t="s">
        <v>10</v>
      </c>
      <c r="O9" s="4">
        <v>558</v>
      </c>
      <c r="P9" s="8">
        <v>247</v>
      </c>
      <c r="Q9" s="10">
        <f t="shared" si="0"/>
        <v>3.3135987794261634</v>
      </c>
    </row>
    <row r="10" spans="1:17" ht="23.5" x14ac:dyDescent="0.55000000000000004">
      <c r="A10" s="22" t="s">
        <v>4</v>
      </c>
      <c r="B10" s="26">
        <f t="shared" si="1"/>
        <v>7.1415765899386363</v>
      </c>
      <c r="C10" s="23">
        <f>((100+D10)*(I10/100+1))*(H10/100+1)*(G10/100+1)*(F10/100+1)*(E10/100+1)</f>
        <v>141.18552193481051</v>
      </c>
      <c r="D10" s="24">
        <v>-0.77</v>
      </c>
      <c r="E10" s="10">
        <v>5.76</v>
      </c>
      <c r="F10" s="10">
        <v>18.32</v>
      </c>
      <c r="G10" s="10">
        <v>8</v>
      </c>
      <c r="H10" s="10">
        <v>19.5</v>
      </c>
      <c r="I10" s="10">
        <v>-11.9</v>
      </c>
      <c r="K10" s="2" t="s">
        <v>4</v>
      </c>
      <c r="L10" s="3">
        <v>5.76</v>
      </c>
      <c r="M10" s="25"/>
      <c r="N10" s="6" t="s">
        <v>8</v>
      </c>
      <c r="O10" s="4">
        <v>1346</v>
      </c>
      <c r="P10" s="8">
        <v>918</v>
      </c>
      <c r="Q10" s="10">
        <f t="shared" si="0"/>
        <v>1.5425569365427494</v>
      </c>
    </row>
    <row r="11" spans="1:17" ht="23.5" x14ac:dyDescent="0.55000000000000004">
      <c r="A11" s="2" t="s">
        <v>24</v>
      </c>
      <c r="B11" s="26">
        <f t="shared" si="1"/>
        <v>6.2425316712793277</v>
      </c>
      <c r="C11" s="23">
        <f>((100+D11)*(I11/100+1))*(H11/100+1)*(G11/100+1)*(F11/100+1)*(E11/100+1)</f>
        <v>135.36053279109566</v>
      </c>
      <c r="D11" s="24">
        <v>-0.77</v>
      </c>
      <c r="E11" s="10">
        <v>7.68</v>
      </c>
      <c r="F11" s="10">
        <v>32.44</v>
      </c>
      <c r="G11" s="10">
        <v>-0.8910891089108901</v>
      </c>
      <c r="H11" s="10">
        <v>16.695551704217209</v>
      </c>
      <c r="I11" s="10">
        <v>-17.295747730530337</v>
      </c>
      <c r="K11" s="2" t="s">
        <v>23</v>
      </c>
      <c r="L11" s="3">
        <v>5.56</v>
      </c>
      <c r="M11" s="25"/>
    </row>
    <row r="12" spans="1:17" ht="23.5" x14ac:dyDescent="0.55000000000000004">
      <c r="A12" s="11" t="s">
        <v>9</v>
      </c>
      <c r="B12" s="26">
        <f t="shared" si="1"/>
        <v>5.4872902283462865</v>
      </c>
      <c r="C12" s="23">
        <f>((100+D12)*(I12/100+1))*(H12/100+1)*(G12/100+1)*(F12/100+1)*(E12/100+1)</f>
        <v>130.61729371500533</v>
      </c>
      <c r="D12" s="24"/>
      <c r="E12" s="10">
        <v>14.69</v>
      </c>
      <c r="F12" s="10">
        <v>30.53</v>
      </c>
      <c r="G12" s="10">
        <v>7.8</v>
      </c>
      <c r="H12" s="10">
        <v>4.3</v>
      </c>
      <c r="I12" s="10">
        <v>-22.4</v>
      </c>
      <c r="K12" s="6" t="s">
        <v>15</v>
      </c>
      <c r="L12" s="3">
        <v>4.2</v>
      </c>
      <c r="M12" s="25"/>
    </row>
    <row r="13" spans="1:17" ht="23.5" x14ac:dyDescent="0.55000000000000004">
      <c r="A13" s="11" t="s">
        <v>10</v>
      </c>
      <c r="B13" s="26">
        <f t="shared" si="1"/>
        <v>5.4199395835173414</v>
      </c>
      <c r="C13" s="23">
        <f>((100+D13)*(I13/100+1))*(H13/100+1)*(G13/100+1)*(F13/100+1)*(E13/100+1)</f>
        <v>130.20084863260831</v>
      </c>
      <c r="D13" s="24"/>
      <c r="E13" s="10">
        <v>11.37</v>
      </c>
      <c r="F13" s="10">
        <v>0.3</v>
      </c>
      <c r="G13" s="10">
        <v>2.2000000000000002</v>
      </c>
      <c r="H13" s="10">
        <v>-4.8</v>
      </c>
      <c r="I13" s="10">
        <v>19.8</v>
      </c>
      <c r="K13" s="7" t="s">
        <v>2</v>
      </c>
      <c r="L13" s="3">
        <v>3.9</v>
      </c>
      <c r="M13" s="25"/>
      <c r="O13" s="17"/>
      <c r="P13" s="18"/>
      <c r="Q13" s="19"/>
    </row>
    <row r="14" spans="1:17" ht="23.5" x14ac:dyDescent="0.55000000000000004">
      <c r="A14" s="22" t="s">
        <v>15</v>
      </c>
      <c r="B14" s="26">
        <f t="shared" si="1"/>
        <v>3.5750736418072915</v>
      </c>
      <c r="C14" s="23">
        <f>((100+D14)*(I14/100+1))*(H14/100+1)*(G14/100+1)*(F14/100+1)*(E14/100+1)</f>
        <v>119.19999955080596</v>
      </c>
      <c r="D14" s="24"/>
      <c r="E14" s="10">
        <v>4.2</v>
      </c>
      <c r="F14" s="10">
        <v>4.5999999999999996</v>
      </c>
      <c r="G14" s="10">
        <v>3.9</v>
      </c>
      <c r="H14" s="10">
        <v>3.5</v>
      </c>
      <c r="I14" s="10">
        <v>1.7</v>
      </c>
      <c r="K14" s="2" t="s">
        <v>21</v>
      </c>
      <c r="L14" s="3">
        <v>2.85</v>
      </c>
      <c r="M14" s="25"/>
      <c r="O14" s="17"/>
      <c r="P14" s="18"/>
      <c r="Q14" s="19"/>
    </row>
    <row r="15" spans="1:17" ht="23.5" x14ac:dyDescent="0.55000000000000004">
      <c r="A15" s="6" t="s">
        <v>19</v>
      </c>
      <c r="B15" s="26">
        <f t="shared" si="1"/>
        <v>2.8603324315505496</v>
      </c>
      <c r="C15" s="23">
        <f>((100+D15)*(I15/100+1))*(H15/100+1)*(G15/100+1)*(F15/100+1)*(E15/100+1)</f>
        <v>115.14355073353377</v>
      </c>
      <c r="D15" s="24">
        <v>-19.600000000000001</v>
      </c>
      <c r="E15" s="10">
        <v>-3.64</v>
      </c>
      <c r="F15" s="10">
        <v>9.6999999999999993</v>
      </c>
      <c r="G15" s="10">
        <v>8.1999999999999993</v>
      </c>
      <c r="H15" s="10">
        <v>23</v>
      </c>
      <c r="I15" s="10">
        <v>1.8</v>
      </c>
      <c r="K15" s="6" t="s">
        <v>18</v>
      </c>
      <c r="L15" s="3">
        <v>2.84</v>
      </c>
      <c r="M15" s="25"/>
    </row>
    <row r="16" spans="1:17" ht="23.5" x14ac:dyDescent="0.55000000000000004">
      <c r="A16" s="2" t="s">
        <v>23</v>
      </c>
      <c r="B16" s="26">
        <f t="shared" si="1"/>
        <v>2.7477866339479906</v>
      </c>
      <c r="C16" s="23">
        <f>((100+D16)*(I16/100+1))*(H16/100+1)*(G16/100+1)*(F16/100+1)*(E16/100+1)</f>
        <v>114.51499961193853</v>
      </c>
      <c r="D16" s="24">
        <v>-7.36</v>
      </c>
      <c r="E16" s="10">
        <v>5.56</v>
      </c>
      <c r="F16" s="10">
        <v>6.84</v>
      </c>
      <c r="G16" s="10">
        <v>7.49670619235836</v>
      </c>
      <c r="H16" s="10">
        <v>7.8431372549019613</v>
      </c>
      <c r="I16" s="10">
        <v>-5.4540569586243919</v>
      </c>
      <c r="K16" s="2" t="s">
        <v>22</v>
      </c>
      <c r="L16" s="3">
        <v>2.08</v>
      </c>
      <c r="M16" s="25"/>
    </row>
    <row r="17" spans="1:17" ht="23.5" x14ac:dyDescent="0.55000000000000004">
      <c r="A17" s="22" t="s">
        <v>18</v>
      </c>
      <c r="B17" s="26">
        <f t="shared" si="1"/>
        <v>1.8213577330986164</v>
      </c>
      <c r="C17" s="23">
        <f>((100+D17)*(I17/100+1))*(H17/100+1)*(G17/100+1)*(F17/100+1)*(E17/100+1)</f>
        <v>109.44462035910999</v>
      </c>
      <c r="D17" s="24">
        <v>-0.77</v>
      </c>
      <c r="E17" s="10">
        <v>2.84</v>
      </c>
      <c r="F17" s="10">
        <v>2.63</v>
      </c>
      <c r="G17" s="10">
        <v>2.16</v>
      </c>
      <c r="H17" s="10">
        <v>2.2799999999999998</v>
      </c>
      <c r="I17" s="10">
        <v>0.01</v>
      </c>
      <c r="K17" s="2" t="s">
        <v>5</v>
      </c>
      <c r="L17" s="3">
        <v>0.49</v>
      </c>
      <c r="M17" s="25"/>
    </row>
    <row r="18" spans="1:17" ht="23.5" x14ac:dyDescent="0.55000000000000004">
      <c r="A18" s="22" t="s">
        <v>2</v>
      </c>
      <c r="B18" s="26">
        <f t="shared" si="1"/>
        <v>1.7078007777595827</v>
      </c>
      <c r="C18" s="23">
        <f>((100+D18)*(I18/100+1))*(H18/100+1)*(G18/100+1)*(F18/100+1)*(E18/100+1)</f>
        <v>108.83568585958317</v>
      </c>
      <c r="D18" s="24">
        <v>-5.12</v>
      </c>
      <c r="E18" s="10">
        <v>3.9</v>
      </c>
      <c r="F18" s="10">
        <v>28.89</v>
      </c>
      <c r="G18" s="10">
        <v>21.4</v>
      </c>
      <c r="H18" s="10">
        <v>-16.5</v>
      </c>
      <c r="I18" s="10">
        <v>-15.5</v>
      </c>
      <c r="K18" s="2" t="s">
        <v>6</v>
      </c>
      <c r="L18" s="3">
        <v>0.4</v>
      </c>
      <c r="M18" s="25"/>
      <c r="Q18" s="12"/>
    </row>
    <row r="19" spans="1:17" ht="23.5" x14ac:dyDescent="0.55000000000000004">
      <c r="A19" s="2" t="s">
        <v>22</v>
      </c>
      <c r="B19" s="26">
        <f t="shared" si="1"/>
        <v>-1.2432318635291484</v>
      </c>
      <c r="C19" s="23">
        <f>((100+D19)*(I19/100+1))*(H19/100+1)*(G19/100+1)*(F19/100+1)*(E19/100+1)</f>
        <v>93.936493573264784</v>
      </c>
      <c r="D19" s="24"/>
      <c r="E19" s="10">
        <v>2.08</v>
      </c>
      <c r="F19" s="10">
        <v>-13.75</v>
      </c>
      <c r="G19" s="10">
        <v>0.57658561042867973</v>
      </c>
      <c r="H19" s="10">
        <v>14.210727238022528</v>
      </c>
      <c r="I19" s="10">
        <v>-7.1181632833968678</v>
      </c>
      <c r="K19" s="2" t="s">
        <v>26</v>
      </c>
      <c r="L19" s="3">
        <v>-0.3</v>
      </c>
      <c r="Q19" s="5"/>
    </row>
    <row r="20" spans="1:17" ht="23.5" x14ac:dyDescent="0.55000000000000004">
      <c r="A20" s="11" t="s">
        <v>1</v>
      </c>
      <c r="B20" s="26">
        <f t="shared" si="1"/>
        <v>-1.270820560801289</v>
      </c>
      <c r="C20" s="23">
        <f>((100+D20)*(I20/100+1))*(H20/100+1)*(G20/100+1)*(F20/100+1)*(E20/100+1)</f>
        <v>93.805356337491489</v>
      </c>
      <c r="D20" s="24"/>
      <c r="E20" s="10">
        <v>19.75</v>
      </c>
      <c r="F20" s="10">
        <v>-17.64</v>
      </c>
      <c r="G20" s="10">
        <v>-5.0999999999999996</v>
      </c>
      <c r="H20" s="10">
        <v>-9.3000000000000007</v>
      </c>
      <c r="I20" s="10">
        <v>10.5</v>
      </c>
      <c r="K20" s="6" t="s">
        <v>19</v>
      </c>
      <c r="L20" s="3">
        <v>-3.64</v>
      </c>
      <c r="Q20" s="5"/>
    </row>
    <row r="21" spans="1:17" ht="23.5" x14ac:dyDescent="0.55000000000000004">
      <c r="A21" s="2" t="s">
        <v>26</v>
      </c>
      <c r="B21" s="26">
        <f t="shared" si="1"/>
        <v>-1.4270850242224076</v>
      </c>
      <c r="C21" s="23">
        <f>((100+D21)*(I21/100+1))*(H21/100+1)*(G21/100+1)*(F21/100+1)*(E21/100+1)</f>
        <v>93.065346363528775</v>
      </c>
      <c r="D21" s="24"/>
      <c r="E21" s="10">
        <v>-0.3</v>
      </c>
      <c r="F21" s="10">
        <v>-2.0299999999999998</v>
      </c>
      <c r="G21" s="10">
        <v>7.0044505144289246</v>
      </c>
      <c r="H21" s="10">
        <v>-10.540658075248288</v>
      </c>
      <c r="I21" s="10">
        <v>-0.4658318185169037</v>
      </c>
      <c r="K21" s="2" t="s">
        <v>0</v>
      </c>
      <c r="L21" s="3">
        <v>-26.9</v>
      </c>
      <c r="Q21" s="5"/>
    </row>
    <row r="22" spans="1:17" x14ac:dyDescent="0.35">
      <c r="B22" s="27"/>
      <c r="C22" s="27"/>
      <c r="D22" s="27"/>
      <c r="E22" s="27"/>
      <c r="F22" s="27"/>
      <c r="G22" s="27"/>
      <c r="H22" s="27"/>
      <c r="I22" s="27"/>
      <c r="K22" s="14"/>
      <c r="L22" s="14"/>
      <c r="N22" s="14"/>
      <c r="Q22" s="5"/>
    </row>
    <row r="23" spans="1:17" x14ac:dyDescent="0.35">
      <c r="C23" s="14"/>
      <c r="D23" s="14"/>
      <c r="E23" s="14"/>
      <c r="F23" s="14"/>
      <c r="G23" s="14"/>
      <c r="H23" s="14"/>
      <c r="I23" s="14"/>
      <c r="N23" s="14"/>
      <c r="Q23" s="5"/>
    </row>
    <row r="24" spans="1:17" x14ac:dyDescent="0.35">
      <c r="C24" s="14"/>
      <c r="D24" s="14"/>
      <c r="E24" s="14"/>
      <c r="F24" s="14"/>
      <c r="G24" s="14"/>
      <c r="H24" s="14"/>
      <c r="I24" s="14"/>
      <c r="N24" s="14"/>
      <c r="Q24" s="5"/>
    </row>
    <row r="25" spans="1:17" x14ac:dyDescent="0.35">
      <c r="C25" s="14"/>
      <c r="D25" s="14"/>
      <c r="E25" s="14"/>
      <c r="F25" s="14"/>
      <c r="G25" s="14"/>
      <c r="H25" s="14"/>
      <c r="I25" s="14"/>
      <c r="Q25" s="5"/>
    </row>
    <row r="26" spans="1:17" x14ac:dyDescent="0.35">
      <c r="C26" s="14"/>
      <c r="D26" s="14"/>
      <c r="E26" s="14"/>
      <c r="F26" s="14"/>
      <c r="G26" s="14"/>
      <c r="H26" s="14"/>
      <c r="I26" s="14"/>
      <c r="Q26" s="5"/>
    </row>
    <row r="27" spans="1:17" x14ac:dyDescent="0.35">
      <c r="C27" s="14"/>
      <c r="D27" s="14"/>
      <c r="E27" s="14"/>
      <c r="F27" s="14"/>
      <c r="G27" s="14"/>
      <c r="H27" s="14"/>
      <c r="I27" s="14"/>
      <c r="Q27" s="5"/>
    </row>
    <row r="28" spans="1:17" x14ac:dyDescent="0.35">
      <c r="C28" s="14"/>
      <c r="D28" s="14"/>
      <c r="E28" s="14"/>
      <c r="F28" s="14"/>
      <c r="G28" s="14"/>
      <c r="H28" s="14"/>
      <c r="I28" s="14"/>
      <c r="Q28" s="5"/>
    </row>
    <row r="29" spans="1:17" x14ac:dyDescent="0.35">
      <c r="C29" s="14"/>
      <c r="D29" s="14"/>
      <c r="E29" s="14"/>
      <c r="F29" s="14"/>
      <c r="G29" s="14"/>
      <c r="H29" s="14"/>
      <c r="I29" s="14"/>
      <c r="Q29" s="5"/>
    </row>
    <row r="30" spans="1:17" x14ac:dyDescent="0.35">
      <c r="C30" s="14"/>
      <c r="D30" s="14"/>
      <c r="E30" s="14"/>
      <c r="F30" s="14"/>
      <c r="G30" s="14"/>
      <c r="H30" s="14"/>
      <c r="I30" s="14"/>
      <c r="Q30" s="5"/>
    </row>
  </sheetData>
  <sortState xmlns:xlrd2="http://schemas.microsoft.com/office/spreadsheetml/2017/richdata2" ref="A2:I21">
    <sortCondition descending="1" ref="C2:C21"/>
  </sortState>
  <phoneticPr fontId="5" type="noConversion"/>
  <conditionalFormatting sqref="E2:I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Seguiment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2021-01-04T22:15:51Z</dcterms:created>
  <dcterms:modified xsi:type="dcterms:W3CDTF">2026-02-28T15:41:35Z</dcterms:modified>
  <dc:language/>
</cp:coreProperties>
</file>